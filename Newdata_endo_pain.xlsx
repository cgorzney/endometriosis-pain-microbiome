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ools-my.sharepoint.com/personal/gorzney_cameron_mayo_edu/Documents/1-Thesis_Research/1-Manuscripts/Microbiome Manuscript/"/>
    </mc:Choice>
  </mc:AlternateContent>
  <xr:revisionPtr revIDLastSave="44" documentId="8_{DA673C00-E4FF-984C-B0EB-BA5E1BEF3774}" xr6:coauthVersionLast="47" xr6:coauthVersionMax="47" xr10:uidLastSave="{BC5F256B-225C-C84F-BA67-6B6D0E0935BD}"/>
  <bookViews>
    <workbookView xWindow="520" yWindow="840" windowWidth="27640" windowHeight="16680" xr2:uid="{C1CB2130-708A-F845-A631-13591078B1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4" i="1" l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<sst xmlns="http://schemas.openxmlformats.org/spreadsheetml/2006/main" count="261" uniqueCount="78">
  <si>
    <t>Study ID</t>
  </si>
  <si>
    <t>Age at surgery</t>
  </si>
  <si>
    <t>case vs control</t>
  </si>
  <si>
    <t>stage</t>
  </si>
  <si>
    <t>Severity</t>
  </si>
  <si>
    <t>Race</t>
  </si>
  <si>
    <t>Ethnicity</t>
  </si>
  <si>
    <t>BMI</t>
  </si>
  <si>
    <t>Graviditity</t>
  </si>
  <si>
    <t>Parity</t>
  </si>
  <si>
    <t>miscarriage</t>
  </si>
  <si>
    <t>Parity status</t>
  </si>
  <si>
    <t>Endosalpingiosis</t>
  </si>
  <si>
    <t>Adenomyosis</t>
  </si>
  <si>
    <t>Fibroids</t>
  </si>
  <si>
    <t>Paratubal Cysts</t>
  </si>
  <si>
    <t>pain_period</t>
  </si>
  <si>
    <t>pain_1st_level</t>
  </si>
  <si>
    <t>Abnormal_bleeding</t>
  </si>
  <si>
    <t>case</t>
  </si>
  <si>
    <t>Mild</t>
  </si>
  <si>
    <t>White</t>
  </si>
  <si>
    <t>Not hispanic or latino</t>
  </si>
  <si>
    <t>multiparous</t>
  </si>
  <si>
    <t>nulliparous</t>
  </si>
  <si>
    <t>Severe</t>
  </si>
  <si>
    <t>control</t>
  </si>
  <si>
    <t>Hispanic or latino</t>
  </si>
  <si>
    <t>Black</t>
  </si>
  <si>
    <t xml:space="preserve">grand multipara </t>
  </si>
  <si>
    <t>primipara</t>
  </si>
  <si>
    <t>Choose not to disclose</t>
  </si>
  <si>
    <t>Chose not to disclose</t>
  </si>
  <si>
    <t>Asian</t>
  </si>
  <si>
    <t>Unknown</t>
  </si>
  <si>
    <t>EMB-101</t>
  </si>
  <si>
    <t>EMB-102</t>
  </si>
  <si>
    <t>EMB-103</t>
  </si>
  <si>
    <t>EMB-104</t>
  </si>
  <si>
    <t>EMB-105</t>
  </si>
  <si>
    <t>EMB-106</t>
  </si>
  <si>
    <t>EMB-107</t>
  </si>
  <si>
    <t>EMB-109</t>
  </si>
  <si>
    <t>EMB-110</t>
  </si>
  <si>
    <t>EMB-111</t>
  </si>
  <si>
    <t>EMB-112</t>
  </si>
  <si>
    <t>EMB-113</t>
  </si>
  <si>
    <t>EMB-114</t>
  </si>
  <si>
    <t>EMB-115</t>
  </si>
  <si>
    <t>EMB-116</t>
  </si>
  <si>
    <t>EMB-117</t>
  </si>
  <si>
    <t>EMB-118</t>
  </si>
  <si>
    <t>EMB-119</t>
  </si>
  <si>
    <t>EMB-120</t>
  </si>
  <si>
    <t>EMB-121</t>
  </si>
  <si>
    <t>EMB-122</t>
  </si>
  <si>
    <t>EMB-123</t>
  </si>
  <si>
    <t>EMB-124</t>
  </si>
  <si>
    <t>EMB-125</t>
  </si>
  <si>
    <t>EMB-126</t>
  </si>
  <si>
    <t>EMB-127</t>
  </si>
  <si>
    <t>EMB-128</t>
  </si>
  <si>
    <t>EMB-131</t>
  </si>
  <si>
    <t>EMB-132</t>
  </si>
  <si>
    <t>EMB-133</t>
  </si>
  <si>
    <t>EMB-135</t>
  </si>
  <si>
    <t>EMB-136</t>
  </si>
  <si>
    <t>EMB-137</t>
  </si>
  <si>
    <t>EMB-138</t>
  </si>
  <si>
    <t>EMB-139</t>
  </si>
  <si>
    <t>EMB-140</t>
  </si>
  <si>
    <t>EMB-141</t>
  </si>
  <si>
    <t>EMB-142</t>
  </si>
  <si>
    <t>EMB-143</t>
  </si>
  <si>
    <t>EMB-144</t>
  </si>
  <si>
    <t>EMB-145</t>
  </si>
  <si>
    <t>EMB-147</t>
  </si>
  <si>
    <t>EMB-148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</si>
</sst>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/>
    <xf numFmtId="1" fontId="0" fillId="0" borderId="0" xfId="0" applyNumberFormat="1"/>
    <xf numFmtId="0" fontId="4" fillId="0" borderId="0" xfId="0" applyFont="1"/>
    <xf numFmtId="0" fontId="0" fillId="5" borderId="0" xfId="0" applyFill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EA89-3592-C343-8746-B2DB24E7DE3B}">
  <dimension ref="A1:S48"/>
  <sheetViews>
    <sheetView tabSelected="1" topLeftCell="N1" workbookViewId="0">
      <selection activeCell="X9" sqref="X9"/>
    </sheetView>
  </sheetViews>
  <sheetFormatPr baseColWidth="10" defaultColWidth="8.83203125" defaultRowHeight="16" x14ac:dyDescent="0.2"/>
  <cols>
    <col min="1" max="1" width="13.5" bestFit="1" customWidth="1"/>
    <col min="2" max="2" width="13.6640625" customWidth="1"/>
    <col min="3" max="3" width="14.5" bestFit="1" customWidth="1"/>
    <col min="7" max="7" width="20.5" bestFit="1" customWidth="1"/>
    <col min="8" max="8" width="8.83203125" style="9"/>
    <col min="12" max="12" width="15.83203125" bestFit="1" customWidth="1"/>
    <col min="13" max="13" width="18.83203125" customWidth="1"/>
    <col min="14" max="14" width="19.6640625" customWidth="1"/>
    <col min="15" max="15" width="17.5" customWidth="1"/>
    <col min="16" max="16" width="17.33203125" customWidth="1"/>
    <col min="17" max="17" width="29.33203125" bestFit="1" customWidth="1"/>
    <col min="18" max="18" width="17.6640625" bestFit="1" customWidth="1"/>
    <col min="19" max="19" width="15.83203125" bestFit="1" customWidth="1"/>
  </cols>
  <sheetData>
    <row r="1" spans="1:1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4" t="s">
        <v>35</v>
      </c>
      <c r="B2" s="5">
        <v>35</v>
      </c>
      <c r="C2" t="s">
        <v>19</v>
      </c>
      <c r="D2">
        <v>1</v>
      </c>
      <c r="E2" t="s">
        <v>20</v>
      </c>
      <c r="F2" t="s">
        <v>21</v>
      </c>
      <c r="G2" t="s">
        <v>22</v>
      </c>
      <c r="H2" s="6">
        <v>34</v>
      </c>
      <c r="I2">
        <v>3</v>
      </c>
      <c r="J2">
        <v>2</v>
      </c>
      <c r="K2">
        <f>I2-J2</f>
        <v>1</v>
      </c>
      <c r="L2" t="s">
        <v>23</v>
      </c>
      <c r="M2">
        <v>1</v>
      </c>
      <c r="N2">
        <v>1</v>
      </c>
      <c r="O2">
        <v>0</v>
      </c>
      <c r="P2">
        <v>0</v>
      </c>
      <c r="Q2">
        <v>10</v>
      </c>
      <c r="R2">
        <v>7</v>
      </c>
      <c r="S2">
        <v>1</v>
      </c>
    </row>
    <row r="3" spans="1:19" x14ac:dyDescent="0.2">
      <c r="A3" s="4" t="s">
        <v>36</v>
      </c>
      <c r="B3">
        <v>35</v>
      </c>
      <c r="C3" t="s">
        <v>19</v>
      </c>
      <c r="D3">
        <v>1</v>
      </c>
      <c r="E3" t="s">
        <v>20</v>
      </c>
      <c r="F3" t="s">
        <v>21</v>
      </c>
      <c r="G3" t="s">
        <v>22</v>
      </c>
      <c r="H3" s="6">
        <v>27.8</v>
      </c>
      <c r="I3">
        <v>0</v>
      </c>
      <c r="J3">
        <v>0</v>
      </c>
      <c r="K3">
        <f t="shared" ref="K3:K44" si="0">I3-J3</f>
        <v>0</v>
      </c>
      <c r="L3" t="s">
        <v>24</v>
      </c>
      <c r="M3">
        <v>0</v>
      </c>
      <c r="N3">
        <v>0</v>
      </c>
      <c r="O3">
        <v>0</v>
      </c>
      <c r="P3">
        <v>0</v>
      </c>
      <c r="Q3">
        <v>10</v>
      </c>
      <c r="R3">
        <v>3</v>
      </c>
      <c r="S3">
        <v>0</v>
      </c>
    </row>
    <row r="4" spans="1:19" x14ac:dyDescent="0.2">
      <c r="A4" s="4" t="s">
        <v>37</v>
      </c>
      <c r="B4">
        <v>43</v>
      </c>
      <c r="C4" t="s">
        <v>19</v>
      </c>
      <c r="D4">
        <v>2</v>
      </c>
      <c r="E4" t="s">
        <v>20</v>
      </c>
      <c r="F4" t="s">
        <v>21</v>
      </c>
      <c r="G4" t="s">
        <v>22</v>
      </c>
      <c r="H4" s="6">
        <v>33.299999999999997</v>
      </c>
      <c r="I4">
        <v>0</v>
      </c>
      <c r="J4">
        <v>0</v>
      </c>
      <c r="K4">
        <f t="shared" si="0"/>
        <v>0</v>
      </c>
      <c r="L4" t="s">
        <v>24</v>
      </c>
      <c r="M4">
        <v>1</v>
      </c>
      <c r="N4">
        <v>0</v>
      </c>
      <c r="O4">
        <v>1</v>
      </c>
      <c r="P4">
        <v>0</v>
      </c>
      <c r="Q4">
        <v>6</v>
      </c>
      <c r="R4">
        <v>6</v>
      </c>
      <c r="S4">
        <v>1</v>
      </c>
    </row>
    <row r="5" spans="1:19" x14ac:dyDescent="0.2">
      <c r="A5" s="4" t="s">
        <v>38</v>
      </c>
      <c r="B5">
        <v>40</v>
      </c>
      <c r="C5" t="s">
        <v>19</v>
      </c>
      <c r="D5">
        <v>3</v>
      </c>
      <c r="E5" t="s">
        <v>25</v>
      </c>
      <c r="F5" t="s">
        <v>21</v>
      </c>
      <c r="G5" t="s">
        <v>22</v>
      </c>
      <c r="H5" s="6">
        <v>38.799999999999997</v>
      </c>
      <c r="I5">
        <v>0</v>
      </c>
      <c r="J5">
        <v>0</v>
      </c>
      <c r="K5">
        <f t="shared" si="0"/>
        <v>0</v>
      </c>
      <c r="L5" t="s">
        <v>24</v>
      </c>
      <c r="M5">
        <v>0</v>
      </c>
      <c r="N5">
        <v>1</v>
      </c>
      <c r="O5">
        <v>1</v>
      </c>
      <c r="P5">
        <v>0</v>
      </c>
      <c r="Q5">
        <v>8</v>
      </c>
      <c r="R5">
        <v>7</v>
      </c>
      <c r="S5">
        <v>0</v>
      </c>
    </row>
    <row r="6" spans="1:19" x14ac:dyDescent="0.2">
      <c r="A6" s="7" t="s">
        <v>39</v>
      </c>
      <c r="B6">
        <v>35</v>
      </c>
      <c r="C6" t="s">
        <v>26</v>
      </c>
      <c r="F6" t="s">
        <v>21</v>
      </c>
      <c r="G6" t="s">
        <v>22</v>
      </c>
      <c r="H6" s="6">
        <v>27.9</v>
      </c>
      <c r="I6">
        <v>3</v>
      </c>
      <c r="J6">
        <v>2</v>
      </c>
      <c r="K6">
        <f t="shared" si="0"/>
        <v>1</v>
      </c>
      <c r="L6" t="s">
        <v>23</v>
      </c>
      <c r="M6">
        <v>0</v>
      </c>
      <c r="N6">
        <v>0</v>
      </c>
      <c r="O6">
        <v>0</v>
      </c>
      <c r="P6">
        <v>0</v>
      </c>
      <c r="Q6">
        <v>99</v>
      </c>
      <c r="R6">
        <v>0</v>
      </c>
      <c r="S6">
        <v>0</v>
      </c>
    </row>
    <row r="7" spans="1:19" x14ac:dyDescent="0.2">
      <c r="A7" s="4" t="s">
        <v>40</v>
      </c>
      <c r="B7">
        <v>29</v>
      </c>
      <c r="C7" t="s">
        <v>19</v>
      </c>
      <c r="D7">
        <v>2</v>
      </c>
      <c r="E7" t="s">
        <v>20</v>
      </c>
      <c r="F7" t="s">
        <v>21</v>
      </c>
      <c r="G7" t="s">
        <v>22</v>
      </c>
      <c r="H7" s="6">
        <v>27.6</v>
      </c>
      <c r="I7">
        <v>0</v>
      </c>
      <c r="J7">
        <v>0</v>
      </c>
      <c r="K7">
        <f t="shared" si="0"/>
        <v>0</v>
      </c>
      <c r="L7" t="s">
        <v>24</v>
      </c>
      <c r="M7">
        <v>0</v>
      </c>
      <c r="N7">
        <v>0</v>
      </c>
      <c r="O7">
        <v>0</v>
      </c>
      <c r="P7">
        <v>0</v>
      </c>
      <c r="Q7">
        <v>10</v>
      </c>
      <c r="R7">
        <v>99</v>
      </c>
      <c r="S7">
        <v>0</v>
      </c>
    </row>
    <row r="8" spans="1:19" x14ac:dyDescent="0.2">
      <c r="A8" s="7" t="s">
        <v>41</v>
      </c>
      <c r="B8">
        <v>41</v>
      </c>
      <c r="C8" t="s">
        <v>26</v>
      </c>
      <c r="F8" t="s">
        <v>21</v>
      </c>
      <c r="G8" t="s">
        <v>27</v>
      </c>
      <c r="H8" s="6">
        <v>43.5</v>
      </c>
      <c r="I8">
        <v>4</v>
      </c>
      <c r="J8">
        <v>3</v>
      </c>
      <c r="K8">
        <f t="shared" si="0"/>
        <v>1</v>
      </c>
      <c r="L8" t="s">
        <v>23</v>
      </c>
      <c r="M8">
        <v>0</v>
      </c>
      <c r="N8">
        <v>0</v>
      </c>
      <c r="O8">
        <v>0</v>
      </c>
      <c r="P8">
        <v>0</v>
      </c>
      <c r="Q8">
        <v>99</v>
      </c>
      <c r="R8">
        <v>99</v>
      </c>
      <c r="S8">
        <v>1</v>
      </c>
    </row>
    <row r="9" spans="1:19" x14ac:dyDescent="0.2">
      <c r="A9" s="4" t="s">
        <v>42</v>
      </c>
      <c r="B9">
        <v>36</v>
      </c>
      <c r="C9" t="s">
        <v>19</v>
      </c>
      <c r="D9">
        <v>4</v>
      </c>
      <c r="E9" t="s">
        <v>25</v>
      </c>
      <c r="F9" t="s">
        <v>21</v>
      </c>
      <c r="G9" t="s">
        <v>27</v>
      </c>
      <c r="H9" s="6">
        <v>28.4</v>
      </c>
      <c r="I9">
        <v>0</v>
      </c>
      <c r="J9">
        <v>0</v>
      </c>
      <c r="K9">
        <f t="shared" si="0"/>
        <v>0</v>
      </c>
      <c r="L9" t="s">
        <v>24</v>
      </c>
      <c r="M9">
        <v>0</v>
      </c>
      <c r="N9">
        <v>1</v>
      </c>
      <c r="O9">
        <v>1</v>
      </c>
      <c r="P9">
        <v>0</v>
      </c>
      <c r="Q9">
        <v>10</v>
      </c>
      <c r="R9">
        <v>10</v>
      </c>
      <c r="S9">
        <v>0</v>
      </c>
    </row>
    <row r="10" spans="1:19" x14ac:dyDescent="0.2">
      <c r="A10" s="7" t="s">
        <v>43</v>
      </c>
      <c r="B10">
        <v>36</v>
      </c>
      <c r="C10" t="s">
        <v>26</v>
      </c>
      <c r="F10" t="s">
        <v>21</v>
      </c>
      <c r="G10" t="s">
        <v>27</v>
      </c>
      <c r="H10" s="6">
        <v>25.9</v>
      </c>
      <c r="I10">
        <v>3</v>
      </c>
      <c r="J10">
        <v>3</v>
      </c>
      <c r="K10">
        <f t="shared" si="0"/>
        <v>0</v>
      </c>
      <c r="L10" t="s">
        <v>23</v>
      </c>
      <c r="M10">
        <v>0</v>
      </c>
      <c r="N10">
        <v>0</v>
      </c>
      <c r="O10">
        <v>0</v>
      </c>
      <c r="P10">
        <v>1</v>
      </c>
      <c r="Q10">
        <v>3</v>
      </c>
      <c r="R10">
        <v>0</v>
      </c>
      <c r="S10">
        <v>0</v>
      </c>
    </row>
    <row r="11" spans="1:19" x14ac:dyDescent="0.2">
      <c r="A11" s="4" t="s">
        <v>44</v>
      </c>
      <c r="B11">
        <v>38</v>
      </c>
      <c r="C11" t="s">
        <v>19</v>
      </c>
      <c r="D11">
        <v>4</v>
      </c>
      <c r="E11" t="s">
        <v>25</v>
      </c>
      <c r="F11" t="s">
        <v>21</v>
      </c>
      <c r="G11" t="s">
        <v>22</v>
      </c>
      <c r="H11" s="6">
        <v>34.9</v>
      </c>
      <c r="I11">
        <v>0</v>
      </c>
      <c r="J11">
        <v>0</v>
      </c>
      <c r="K11">
        <f t="shared" si="0"/>
        <v>0</v>
      </c>
      <c r="L11" t="s">
        <v>24</v>
      </c>
      <c r="M11">
        <v>0</v>
      </c>
      <c r="N11">
        <v>0</v>
      </c>
      <c r="O11">
        <v>1</v>
      </c>
      <c r="P11">
        <v>1</v>
      </c>
      <c r="Q11">
        <v>10</v>
      </c>
      <c r="R11">
        <v>7</v>
      </c>
      <c r="S11">
        <v>1</v>
      </c>
    </row>
    <row r="12" spans="1:19" x14ac:dyDescent="0.2">
      <c r="A12" s="4" t="s">
        <v>45</v>
      </c>
      <c r="B12">
        <v>37</v>
      </c>
      <c r="C12" t="s">
        <v>19</v>
      </c>
      <c r="D12">
        <v>4</v>
      </c>
      <c r="E12" t="s">
        <v>25</v>
      </c>
      <c r="F12" t="s">
        <v>28</v>
      </c>
      <c r="G12" t="s">
        <v>22</v>
      </c>
      <c r="H12" s="6">
        <v>29.2</v>
      </c>
      <c r="I12">
        <v>0</v>
      </c>
      <c r="J12">
        <v>0</v>
      </c>
      <c r="K12">
        <f t="shared" si="0"/>
        <v>0</v>
      </c>
      <c r="L12" t="s">
        <v>24</v>
      </c>
      <c r="M12">
        <v>0</v>
      </c>
      <c r="N12">
        <v>0</v>
      </c>
      <c r="O12">
        <v>1</v>
      </c>
      <c r="P12">
        <v>0</v>
      </c>
      <c r="Q12">
        <v>10</v>
      </c>
      <c r="R12">
        <v>8</v>
      </c>
      <c r="S12">
        <v>0</v>
      </c>
    </row>
    <row r="13" spans="1:19" x14ac:dyDescent="0.2">
      <c r="A13" s="4" t="s">
        <v>46</v>
      </c>
      <c r="B13">
        <v>35</v>
      </c>
      <c r="C13" t="s">
        <v>19</v>
      </c>
      <c r="D13">
        <v>1</v>
      </c>
      <c r="E13" t="s">
        <v>20</v>
      </c>
      <c r="F13" t="s">
        <v>21</v>
      </c>
      <c r="G13" t="s">
        <v>22</v>
      </c>
      <c r="H13" s="6">
        <v>22.1</v>
      </c>
      <c r="I13">
        <v>8</v>
      </c>
      <c r="J13">
        <v>7</v>
      </c>
      <c r="K13">
        <f t="shared" si="0"/>
        <v>1</v>
      </c>
      <c r="L13" t="s">
        <v>29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">
      <c r="A14" s="4" t="s">
        <v>47</v>
      </c>
      <c r="B14">
        <v>43</v>
      </c>
      <c r="C14" t="s">
        <v>19</v>
      </c>
      <c r="D14">
        <v>4</v>
      </c>
      <c r="E14" t="s">
        <v>25</v>
      </c>
      <c r="F14" t="s">
        <v>21</v>
      </c>
      <c r="G14" t="s">
        <v>22</v>
      </c>
      <c r="H14" s="6">
        <v>32.5</v>
      </c>
      <c r="I14">
        <v>0</v>
      </c>
      <c r="J14">
        <v>0</v>
      </c>
      <c r="K14">
        <f t="shared" si="0"/>
        <v>0</v>
      </c>
      <c r="L14" t="s">
        <v>24</v>
      </c>
      <c r="M14">
        <v>0</v>
      </c>
      <c r="N14">
        <v>0</v>
      </c>
      <c r="O14">
        <v>0</v>
      </c>
      <c r="P14">
        <v>1</v>
      </c>
      <c r="Q14">
        <v>3</v>
      </c>
      <c r="R14">
        <v>1</v>
      </c>
      <c r="S14">
        <v>1</v>
      </c>
    </row>
    <row r="15" spans="1:19" x14ac:dyDescent="0.2">
      <c r="A15" s="4" t="s">
        <v>48</v>
      </c>
      <c r="B15">
        <v>39</v>
      </c>
      <c r="C15" t="s">
        <v>19</v>
      </c>
      <c r="D15">
        <v>1</v>
      </c>
      <c r="E15" t="s">
        <v>20</v>
      </c>
      <c r="F15" t="s">
        <v>21</v>
      </c>
      <c r="G15" t="s">
        <v>22</v>
      </c>
      <c r="H15" s="6">
        <v>22.8</v>
      </c>
      <c r="I15">
        <v>5</v>
      </c>
      <c r="J15">
        <v>4</v>
      </c>
      <c r="K15">
        <f t="shared" si="0"/>
        <v>1</v>
      </c>
      <c r="L15" t="s">
        <v>23</v>
      </c>
      <c r="M15">
        <v>0</v>
      </c>
      <c r="N15">
        <v>1</v>
      </c>
      <c r="O15">
        <v>0</v>
      </c>
      <c r="P15">
        <v>0</v>
      </c>
      <c r="Q15">
        <v>8</v>
      </c>
      <c r="R15">
        <v>8</v>
      </c>
      <c r="S15">
        <v>0</v>
      </c>
    </row>
    <row r="16" spans="1:19" x14ac:dyDescent="0.2">
      <c r="A16" s="4" t="s">
        <v>49</v>
      </c>
      <c r="B16">
        <v>37</v>
      </c>
      <c r="C16" t="s">
        <v>19</v>
      </c>
      <c r="D16">
        <v>4</v>
      </c>
      <c r="E16" t="s">
        <v>25</v>
      </c>
      <c r="F16" t="s">
        <v>21</v>
      </c>
      <c r="G16" t="s">
        <v>22</v>
      </c>
      <c r="H16" s="6">
        <v>49.7</v>
      </c>
      <c r="I16">
        <v>1</v>
      </c>
      <c r="J16">
        <v>1</v>
      </c>
      <c r="K16">
        <f t="shared" si="0"/>
        <v>0</v>
      </c>
      <c r="L16" t="s">
        <v>30</v>
      </c>
      <c r="M16">
        <v>0</v>
      </c>
      <c r="N16">
        <v>0</v>
      </c>
      <c r="O16">
        <v>1</v>
      </c>
      <c r="P16">
        <v>0</v>
      </c>
      <c r="Q16">
        <v>8</v>
      </c>
      <c r="R16">
        <v>3</v>
      </c>
      <c r="S16">
        <v>1</v>
      </c>
    </row>
    <row r="17" spans="1:19" x14ac:dyDescent="0.2">
      <c r="A17" s="7" t="s">
        <v>50</v>
      </c>
      <c r="B17">
        <v>46</v>
      </c>
      <c r="C17" t="s">
        <v>26</v>
      </c>
      <c r="F17" t="s">
        <v>21</v>
      </c>
      <c r="G17" t="s">
        <v>22</v>
      </c>
      <c r="H17" s="6">
        <v>23.2</v>
      </c>
      <c r="I17">
        <v>6</v>
      </c>
      <c r="J17">
        <v>6</v>
      </c>
      <c r="K17">
        <f t="shared" si="0"/>
        <v>0</v>
      </c>
      <c r="L17" t="s">
        <v>29</v>
      </c>
      <c r="M17">
        <v>0</v>
      </c>
      <c r="N17">
        <v>0</v>
      </c>
      <c r="O17">
        <v>0</v>
      </c>
      <c r="P17">
        <v>1</v>
      </c>
      <c r="Q17">
        <v>6</v>
      </c>
      <c r="R17">
        <v>5</v>
      </c>
      <c r="S17">
        <v>0</v>
      </c>
    </row>
    <row r="18" spans="1:19" x14ac:dyDescent="0.2">
      <c r="A18" s="4" t="s">
        <v>51</v>
      </c>
      <c r="B18">
        <v>33</v>
      </c>
      <c r="C18" t="s">
        <v>19</v>
      </c>
      <c r="D18">
        <v>1</v>
      </c>
      <c r="E18" t="s">
        <v>20</v>
      </c>
      <c r="F18" t="s">
        <v>21</v>
      </c>
      <c r="G18" t="s">
        <v>22</v>
      </c>
      <c r="H18" s="6">
        <v>21</v>
      </c>
      <c r="I18">
        <v>0</v>
      </c>
      <c r="J18">
        <v>0</v>
      </c>
      <c r="K18">
        <f t="shared" si="0"/>
        <v>0</v>
      </c>
      <c r="L18" t="s">
        <v>24</v>
      </c>
      <c r="M18">
        <v>0</v>
      </c>
      <c r="N18">
        <v>0</v>
      </c>
      <c r="O18">
        <v>1</v>
      </c>
      <c r="P18">
        <v>0</v>
      </c>
      <c r="Q18">
        <v>5</v>
      </c>
      <c r="R18">
        <v>4</v>
      </c>
      <c r="S18">
        <v>0</v>
      </c>
    </row>
    <row r="19" spans="1:19" x14ac:dyDescent="0.2">
      <c r="A19" s="4" t="s">
        <v>52</v>
      </c>
      <c r="B19">
        <v>36</v>
      </c>
      <c r="C19" t="s">
        <v>19</v>
      </c>
      <c r="D19">
        <v>1</v>
      </c>
      <c r="E19" t="s">
        <v>20</v>
      </c>
      <c r="F19" t="s">
        <v>21</v>
      </c>
      <c r="G19" t="s">
        <v>22</v>
      </c>
      <c r="H19" s="6">
        <v>33.700000000000003</v>
      </c>
      <c r="I19">
        <v>0</v>
      </c>
      <c r="J19">
        <v>0</v>
      </c>
      <c r="K19">
        <f t="shared" si="0"/>
        <v>0</v>
      </c>
      <c r="L19" t="s">
        <v>24</v>
      </c>
      <c r="M19">
        <v>1</v>
      </c>
      <c r="N19">
        <v>0</v>
      </c>
      <c r="O19">
        <v>1</v>
      </c>
      <c r="P19">
        <v>0</v>
      </c>
      <c r="Q19">
        <v>10</v>
      </c>
      <c r="R19">
        <v>7</v>
      </c>
      <c r="S19">
        <v>0</v>
      </c>
    </row>
    <row r="20" spans="1:19" x14ac:dyDescent="0.2">
      <c r="A20" s="4" t="s">
        <v>53</v>
      </c>
      <c r="B20">
        <v>45</v>
      </c>
      <c r="C20" t="s">
        <v>19</v>
      </c>
      <c r="D20">
        <v>1</v>
      </c>
      <c r="E20" t="s">
        <v>20</v>
      </c>
      <c r="F20" t="s">
        <v>21</v>
      </c>
      <c r="G20" t="s">
        <v>22</v>
      </c>
      <c r="H20" s="6">
        <v>24.5</v>
      </c>
      <c r="I20">
        <v>4</v>
      </c>
      <c r="J20">
        <v>0</v>
      </c>
      <c r="K20">
        <f t="shared" si="0"/>
        <v>4</v>
      </c>
      <c r="L20" t="s">
        <v>24</v>
      </c>
      <c r="M20">
        <v>1</v>
      </c>
      <c r="N20">
        <v>0</v>
      </c>
      <c r="O20">
        <v>1</v>
      </c>
      <c r="P20">
        <v>0</v>
      </c>
      <c r="Q20">
        <v>10</v>
      </c>
      <c r="R20">
        <v>2</v>
      </c>
      <c r="S20">
        <v>0</v>
      </c>
    </row>
    <row r="21" spans="1:19" x14ac:dyDescent="0.2">
      <c r="A21" s="4" t="s">
        <v>54</v>
      </c>
      <c r="B21">
        <v>25</v>
      </c>
      <c r="C21" t="s">
        <v>19</v>
      </c>
      <c r="D21">
        <v>3</v>
      </c>
      <c r="E21" t="s">
        <v>25</v>
      </c>
      <c r="F21" t="s">
        <v>21</v>
      </c>
      <c r="G21" t="s">
        <v>22</v>
      </c>
      <c r="H21" s="6">
        <v>36.799999999999997</v>
      </c>
      <c r="I21">
        <v>0</v>
      </c>
      <c r="J21">
        <v>0</v>
      </c>
      <c r="K21">
        <f t="shared" si="0"/>
        <v>0</v>
      </c>
      <c r="L21" t="s">
        <v>24</v>
      </c>
      <c r="M21">
        <v>1</v>
      </c>
      <c r="N21">
        <v>0</v>
      </c>
      <c r="O21">
        <v>0</v>
      </c>
      <c r="P21">
        <v>1</v>
      </c>
      <c r="Q21">
        <v>7</v>
      </c>
      <c r="R21">
        <v>7</v>
      </c>
      <c r="S21">
        <v>0</v>
      </c>
    </row>
    <row r="22" spans="1:19" x14ac:dyDescent="0.2">
      <c r="A22" s="4" t="s">
        <v>55</v>
      </c>
      <c r="B22">
        <v>35</v>
      </c>
      <c r="C22" t="s">
        <v>19</v>
      </c>
      <c r="D22">
        <v>1</v>
      </c>
      <c r="E22" t="s">
        <v>20</v>
      </c>
      <c r="F22" t="s">
        <v>21</v>
      </c>
      <c r="G22" t="s">
        <v>22</v>
      </c>
      <c r="H22" s="6">
        <v>54.3</v>
      </c>
      <c r="I22">
        <v>0</v>
      </c>
      <c r="J22">
        <v>0</v>
      </c>
      <c r="K22">
        <f t="shared" si="0"/>
        <v>0</v>
      </c>
      <c r="L22" t="s">
        <v>24</v>
      </c>
      <c r="M22">
        <v>0</v>
      </c>
      <c r="N22">
        <v>0</v>
      </c>
      <c r="O22">
        <v>0</v>
      </c>
      <c r="P22">
        <v>0</v>
      </c>
      <c r="Q22">
        <v>8</v>
      </c>
      <c r="R22">
        <v>5</v>
      </c>
      <c r="S22">
        <v>1</v>
      </c>
    </row>
    <row r="23" spans="1:19" x14ac:dyDescent="0.2">
      <c r="A23" s="4" t="s">
        <v>56</v>
      </c>
      <c r="B23">
        <v>32</v>
      </c>
      <c r="C23" t="s">
        <v>19</v>
      </c>
      <c r="D23">
        <v>3</v>
      </c>
      <c r="E23" t="s">
        <v>25</v>
      </c>
      <c r="F23" t="s">
        <v>21</v>
      </c>
      <c r="G23" t="s">
        <v>22</v>
      </c>
      <c r="H23" s="6">
        <v>26.8</v>
      </c>
      <c r="I23">
        <v>0</v>
      </c>
      <c r="J23">
        <v>0</v>
      </c>
      <c r="K23">
        <f t="shared" si="0"/>
        <v>0</v>
      </c>
      <c r="L23" t="s">
        <v>24</v>
      </c>
      <c r="M23">
        <v>0</v>
      </c>
      <c r="N23">
        <v>0</v>
      </c>
      <c r="O23">
        <v>1</v>
      </c>
      <c r="P23">
        <v>0</v>
      </c>
      <c r="Q23">
        <v>8</v>
      </c>
      <c r="R23">
        <v>6</v>
      </c>
      <c r="S23">
        <v>1</v>
      </c>
    </row>
    <row r="24" spans="1:19" x14ac:dyDescent="0.2">
      <c r="A24" s="4" t="s">
        <v>57</v>
      </c>
      <c r="B24">
        <v>43</v>
      </c>
      <c r="C24" t="s">
        <v>19</v>
      </c>
      <c r="D24">
        <v>4</v>
      </c>
      <c r="E24" t="s">
        <v>25</v>
      </c>
      <c r="F24" t="s">
        <v>21</v>
      </c>
      <c r="G24" t="s">
        <v>22</v>
      </c>
      <c r="H24" s="6">
        <v>23.6</v>
      </c>
      <c r="I24">
        <v>2</v>
      </c>
      <c r="J24">
        <v>2</v>
      </c>
      <c r="K24">
        <f t="shared" si="0"/>
        <v>0</v>
      </c>
      <c r="L24" t="s">
        <v>23</v>
      </c>
      <c r="M24">
        <v>0</v>
      </c>
      <c r="N24">
        <v>0</v>
      </c>
      <c r="O24">
        <v>1</v>
      </c>
      <c r="P24">
        <v>0</v>
      </c>
      <c r="Q24">
        <v>8</v>
      </c>
      <c r="R24">
        <v>99</v>
      </c>
      <c r="S24">
        <v>0</v>
      </c>
    </row>
    <row r="25" spans="1:19" x14ac:dyDescent="0.2">
      <c r="A25" s="4" t="s">
        <v>58</v>
      </c>
      <c r="B25">
        <v>35</v>
      </c>
      <c r="C25" t="s">
        <v>19</v>
      </c>
      <c r="D25">
        <v>4</v>
      </c>
      <c r="E25" t="s">
        <v>25</v>
      </c>
      <c r="F25" t="s">
        <v>31</v>
      </c>
      <c r="G25" t="s">
        <v>32</v>
      </c>
      <c r="H25" s="6">
        <v>28</v>
      </c>
      <c r="I25">
        <v>0</v>
      </c>
      <c r="J25">
        <v>0</v>
      </c>
      <c r="K25">
        <f t="shared" si="0"/>
        <v>0</v>
      </c>
      <c r="L25" t="s">
        <v>24</v>
      </c>
      <c r="M25">
        <v>0</v>
      </c>
      <c r="N25">
        <v>0</v>
      </c>
      <c r="O25">
        <v>1</v>
      </c>
      <c r="P25">
        <v>0</v>
      </c>
      <c r="Q25">
        <v>99</v>
      </c>
      <c r="R25">
        <v>99</v>
      </c>
      <c r="S25">
        <v>0</v>
      </c>
    </row>
    <row r="26" spans="1:19" x14ac:dyDescent="0.2">
      <c r="A26" s="7" t="s">
        <v>59</v>
      </c>
      <c r="B26">
        <v>41</v>
      </c>
      <c r="C26" t="s">
        <v>26</v>
      </c>
      <c r="F26" t="s">
        <v>21</v>
      </c>
      <c r="G26" t="s">
        <v>22</v>
      </c>
      <c r="H26" s="6">
        <v>20.8</v>
      </c>
      <c r="I26">
        <v>3</v>
      </c>
      <c r="J26">
        <v>2</v>
      </c>
      <c r="K26">
        <f t="shared" si="0"/>
        <v>1</v>
      </c>
      <c r="L26" t="s">
        <v>23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1</v>
      </c>
    </row>
    <row r="27" spans="1:19" x14ac:dyDescent="0.2">
      <c r="A27" s="4" t="s">
        <v>60</v>
      </c>
      <c r="B27">
        <v>29</v>
      </c>
      <c r="C27" t="s">
        <v>19</v>
      </c>
      <c r="D27">
        <v>3</v>
      </c>
      <c r="E27" t="s">
        <v>25</v>
      </c>
      <c r="F27" t="s">
        <v>21</v>
      </c>
      <c r="G27" t="s">
        <v>22</v>
      </c>
      <c r="H27" s="6">
        <v>20.2</v>
      </c>
      <c r="I27">
        <v>0</v>
      </c>
      <c r="J27">
        <v>0</v>
      </c>
      <c r="K27">
        <f t="shared" si="0"/>
        <v>0</v>
      </c>
      <c r="L27" t="s">
        <v>24</v>
      </c>
      <c r="M27">
        <v>0</v>
      </c>
      <c r="N27">
        <v>0</v>
      </c>
      <c r="O27">
        <v>0</v>
      </c>
      <c r="P27">
        <v>0</v>
      </c>
      <c r="Q27">
        <v>10</v>
      </c>
      <c r="R27">
        <v>10</v>
      </c>
      <c r="S27">
        <v>0</v>
      </c>
    </row>
    <row r="28" spans="1:19" x14ac:dyDescent="0.2">
      <c r="A28" s="4" t="s">
        <v>61</v>
      </c>
      <c r="B28">
        <v>36</v>
      </c>
      <c r="C28" t="s">
        <v>19</v>
      </c>
      <c r="D28">
        <v>4</v>
      </c>
      <c r="E28" t="s">
        <v>25</v>
      </c>
      <c r="F28" t="s">
        <v>21</v>
      </c>
      <c r="G28" t="s">
        <v>22</v>
      </c>
      <c r="H28" s="6">
        <v>49.7</v>
      </c>
      <c r="I28">
        <v>3</v>
      </c>
      <c r="J28">
        <v>2</v>
      </c>
      <c r="K28">
        <f t="shared" si="0"/>
        <v>1</v>
      </c>
      <c r="L28" t="s">
        <v>23</v>
      </c>
      <c r="M28">
        <v>0</v>
      </c>
      <c r="N28">
        <v>1</v>
      </c>
      <c r="O28">
        <v>0</v>
      </c>
      <c r="P28">
        <v>1</v>
      </c>
      <c r="Q28">
        <v>10</v>
      </c>
      <c r="R28">
        <v>7</v>
      </c>
      <c r="S28">
        <v>1</v>
      </c>
    </row>
    <row r="29" spans="1:19" x14ac:dyDescent="0.2">
      <c r="A29" s="7" t="s">
        <v>62</v>
      </c>
      <c r="B29">
        <v>39</v>
      </c>
      <c r="C29" t="s">
        <v>26</v>
      </c>
      <c r="F29" t="s">
        <v>21</v>
      </c>
      <c r="G29" t="s">
        <v>22</v>
      </c>
      <c r="H29" s="6">
        <v>32.200000000000003</v>
      </c>
      <c r="I29">
        <v>4</v>
      </c>
      <c r="J29">
        <v>2</v>
      </c>
      <c r="K29">
        <f t="shared" si="0"/>
        <v>2</v>
      </c>
      <c r="L29" t="s">
        <v>23</v>
      </c>
      <c r="M29">
        <v>1</v>
      </c>
      <c r="N29">
        <v>0</v>
      </c>
      <c r="O29">
        <v>0</v>
      </c>
      <c r="P29">
        <v>0</v>
      </c>
      <c r="Q29">
        <v>8</v>
      </c>
      <c r="R29">
        <v>7</v>
      </c>
      <c r="S29">
        <v>0</v>
      </c>
    </row>
    <row r="30" spans="1:19" x14ac:dyDescent="0.2">
      <c r="A30" s="7" t="s">
        <v>63</v>
      </c>
      <c r="B30">
        <v>31</v>
      </c>
      <c r="C30" t="s">
        <v>26</v>
      </c>
      <c r="F30" t="s">
        <v>21</v>
      </c>
      <c r="G30" t="s">
        <v>22</v>
      </c>
      <c r="H30" s="6">
        <v>29</v>
      </c>
      <c r="I30">
        <v>2</v>
      </c>
      <c r="J30">
        <v>2</v>
      </c>
      <c r="K30">
        <f t="shared" si="0"/>
        <v>0</v>
      </c>
      <c r="L30" t="s">
        <v>23</v>
      </c>
      <c r="M30">
        <v>0</v>
      </c>
      <c r="N30">
        <v>0</v>
      </c>
      <c r="O30">
        <v>0</v>
      </c>
      <c r="P30">
        <v>1</v>
      </c>
      <c r="Q30">
        <v>99</v>
      </c>
      <c r="R30">
        <v>99</v>
      </c>
      <c r="S30">
        <v>0</v>
      </c>
    </row>
    <row r="31" spans="1:19" x14ac:dyDescent="0.2">
      <c r="A31" s="4" t="s">
        <v>64</v>
      </c>
      <c r="B31">
        <v>42</v>
      </c>
      <c r="C31" t="s">
        <v>19</v>
      </c>
      <c r="D31">
        <v>3</v>
      </c>
      <c r="E31" t="s">
        <v>25</v>
      </c>
      <c r="F31" t="s">
        <v>21</v>
      </c>
      <c r="G31" t="s">
        <v>22</v>
      </c>
      <c r="H31" s="6">
        <v>40.299999999999997</v>
      </c>
      <c r="I31">
        <v>2</v>
      </c>
      <c r="J31">
        <v>2</v>
      </c>
      <c r="K31">
        <f t="shared" si="0"/>
        <v>0</v>
      </c>
      <c r="L31" t="s">
        <v>23</v>
      </c>
      <c r="M31">
        <v>0</v>
      </c>
      <c r="N31">
        <v>0</v>
      </c>
      <c r="O31">
        <v>0</v>
      </c>
      <c r="P31">
        <v>0</v>
      </c>
      <c r="Q31">
        <v>4</v>
      </c>
      <c r="R31">
        <v>3</v>
      </c>
      <c r="S31">
        <v>0</v>
      </c>
    </row>
    <row r="32" spans="1:19" x14ac:dyDescent="0.2">
      <c r="A32" s="4" t="s">
        <v>65</v>
      </c>
      <c r="B32">
        <v>36</v>
      </c>
      <c r="C32" t="s">
        <v>19</v>
      </c>
      <c r="D32">
        <v>2</v>
      </c>
      <c r="E32" t="s">
        <v>20</v>
      </c>
      <c r="F32" t="s">
        <v>21</v>
      </c>
      <c r="G32" t="s">
        <v>22</v>
      </c>
      <c r="H32" s="6">
        <v>18.8</v>
      </c>
      <c r="I32">
        <v>5</v>
      </c>
      <c r="J32">
        <v>1</v>
      </c>
      <c r="K32">
        <f t="shared" si="0"/>
        <v>4</v>
      </c>
      <c r="L32" t="s">
        <v>30</v>
      </c>
      <c r="M32">
        <v>0</v>
      </c>
      <c r="N32">
        <v>0</v>
      </c>
      <c r="O32">
        <v>0</v>
      </c>
      <c r="P32">
        <v>1</v>
      </c>
      <c r="Q32">
        <v>4</v>
      </c>
      <c r="R32">
        <v>2</v>
      </c>
      <c r="S32">
        <v>0</v>
      </c>
    </row>
    <row r="33" spans="1:19" x14ac:dyDescent="0.2">
      <c r="A33" s="7" t="s">
        <v>66</v>
      </c>
      <c r="B33">
        <v>43</v>
      </c>
      <c r="C33" t="s">
        <v>26</v>
      </c>
      <c r="F33" t="s">
        <v>33</v>
      </c>
      <c r="G33" t="s">
        <v>22</v>
      </c>
      <c r="H33" s="6">
        <v>18.8</v>
      </c>
      <c r="I33">
        <v>5</v>
      </c>
      <c r="J33">
        <v>2</v>
      </c>
      <c r="K33">
        <f t="shared" si="0"/>
        <v>3</v>
      </c>
      <c r="L33" t="s">
        <v>23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s="7" t="s">
        <v>67</v>
      </c>
      <c r="B34">
        <v>35</v>
      </c>
      <c r="C34" t="s">
        <v>26</v>
      </c>
      <c r="F34" t="s">
        <v>21</v>
      </c>
      <c r="G34" t="s">
        <v>22</v>
      </c>
      <c r="H34" s="6">
        <v>51.8</v>
      </c>
      <c r="I34">
        <v>1</v>
      </c>
      <c r="J34">
        <v>1</v>
      </c>
      <c r="K34">
        <f t="shared" si="0"/>
        <v>0</v>
      </c>
      <c r="L34" t="s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7</v>
      </c>
      <c r="S34">
        <v>0</v>
      </c>
    </row>
    <row r="35" spans="1:19" x14ac:dyDescent="0.2">
      <c r="A35" s="7" t="s">
        <v>68</v>
      </c>
      <c r="B35">
        <v>46</v>
      </c>
      <c r="C35" t="s">
        <v>26</v>
      </c>
      <c r="F35" t="s">
        <v>21</v>
      </c>
      <c r="G35" t="s">
        <v>22</v>
      </c>
      <c r="H35" s="6">
        <v>38.200000000000003</v>
      </c>
      <c r="I35">
        <v>1</v>
      </c>
      <c r="J35">
        <v>1</v>
      </c>
      <c r="K35">
        <f t="shared" si="0"/>
        <v>0</v>
      </c>
      <c r="L35" t="s">
        <v>30</v>
      </c>
      <c r="M35">
        <v>0</v>
      </c>
      <c r="N35">
        <v>0</v>
      </c>
      <c r="O35">
        <v>1</v>
      </c>
      <c r="P35">
        <v>0</v>
      </c>
      <c r="Q35">
        <v>9</v>
      </c>
      <c r="R35">
        <v>6</v>
      </c>
      <c r="S35">
        <v>1</v>
      </c>
    </row>
    <row r="36" spans="1:19" x14ac:dyDescent="0.2">
      <c r="A36" s="7" t="s">
        <v>69</v>
      </c>
      <c r="B36">
        <v>38</v>
      </c>
      <c r="C36" t="s">
        <v>26</v>
      </c>
      <c r="F36" t="s">
        <v>21</v>
      </c>
      <c r="G36" t="s">
        <v>22</v>
      </c>
      <c r="H36" s="6">
        <v>35</v>
      </c>
      <c r="I36">
        <v>2</v>
      </c>
      <c r="J36">
        <v>1</v>
      </c>
      <c r="K36">
        <f t="shared" si="0"/>
        <v>1</v>
      </c>
      <c r="L36" t="s">
        <v>30</v>
      </c>
      <c r="M36">
        <v>0</v>
      </c>
      <c r="N36">
        <v>0</v>
      </c>
      <c r="O36">
        <v>0</v>
      </c>
      <c r="P36">
        <v>0</v>
      </c>
      <c r="Q36">
        <v>1</v>
      </c>
      <c r="R36">
        <v>5</v>
      </c>
      <c r="S36">
        <v>0</v>
      </c>
    </row>
    <row r="37" spans="1:19" x14ac:dyDescent="0.2">
      <c r="A37" s="7" t="s">
        <v>70</v>
      </c>
      <c r="B37">
        <v>43</v>
      </c>
      <c r="C37" t="s">
        <v>26</v>
      </c>
      <c r="F37" t="s">
        <v>21</v>
      </c>
      <c r="G37" t="s">
        <v>22</v>
      </c>
      <c r="H37" s="6">
        <v>35.6</v>
      </c>
      <c r="I37">
        <v>2</v>
      </c>
      <c r="J37">
        <v>2</v>
      </c>
      <c r="K37">
        <f t="shared" si="0"/>
        <v>0</v>
      </c>
      <c r="L37" t="s">
        <v>23</v>
      </c>
      <c r="M37">
        <v>1</v>
      </c>
      <c r="N37">
        <v>0</v>
      </c>
      <c r="O37">
        <v>1</v>
      </c>
      <c r="P37">
        <v>0</v>
      </c>
      <c r="Q37">
        <v>2</v>
      </c>
      <c r="R37">
        <v>2</v>
      </c>
      <c r="S37">
        <v>0</v>
      </c>
    </row>
    <row r="38" spans="1:19" x14ac:dyDescent="0.2">
      <c r="A38" s="4" t="s">
        <v>71</v>
      </c>
      <c r="B38">
        <v>41</v>
      </c>
      <c r="C38" t="s">
        <v>19</v>
      </c>
      <c r="D38">
        <v>1</v>
      </c>
      <c r="E38" t="s">
        <v>20</v>
      </c>
      <c r="F38" t="s">
        <v>21</v>
      </c>
      <c r="G38" t="s">
        <v>22</v>
      </c>
      <c r="H38" s="8">
        <v>23.8</v>
      </c>
      <c r="I38">
        <v>1</v>
      </c>
      <c r="J38">
        <v>1</v>
      </c>
      <c r="K38">
        <f t="shared" si="0"/>
        <v>0</v>
      </c>
      <c r="L38" t="s">
        <v>30</v>
      </c>
      <c r="M38">
        <v>0</v>
      </c>
      <c r="N38">
        <v>1</v>
      </c>
      <c r="O38">
        <v>1</v>
      </c>
      <c r="P38">
        <v>1</v>
      </c>
      <c r="Q38">
        <v>99</v>
      </c>
      <c r="R38">
        <v>99</v>
      </c>
      <c r="S38">
        <v>1</v>
      </c>
    </row>
    <row r="39" spans="1:19" x14ac:dyDescent="0.2">
      <c r="A39" s="4" t="s">
        <v>72</v>
      </c>
      <c r="B39">
        <v>36</v>
      </c>
      <c r="C39" t="s">
        <v>19</v>
      </c>
      <c r="D39">
        <v>1</v>
      </c>
      <c r="E39" t="s">
        <v>20</v>
      </c>
      <c r="F39" t="s">
        <v>21</v>
      </c>
      <c r="G39" t="s">
        <v>22</v>
      </c>
      <c r="H39" s="6">
        <v>29.8</v>
      </c>
      <c r="I39">
        <v>2</v>
      </c>
      <c r="J39">
        <v>2</v>
      </c>
      <c r="K39">
        <f t="shared" si="0"/>
        <v>0</v>
      </c>
      <c r="L39" t="s">
        <v>23</v>
      </c>
      <c r="M39">
        <v>0</v>
      </c>
      <c r="N39">
        <v>0</v>
      </c>
      <c r="O39">
        <v>0</v>
      </c>
      <c r="P39">
        <v>0</v>
      </c>
      <c r="Q39">
        <v>8</v>
      </c>
      <c r="R39">
        <v>8</v>
      </c>
      <c r="S39">
        <v>1</v>
      </c>
    </row>
    <row r="40" spans="1:19" x14ac:dyDescent="0.2">
      <c r="A40" s="4" t="s">
        <v>73</v>
      </c>
      <c r="B40">
        <v>41</v>
      </c>
      <c r="C40" t="s">
        <v>19</v>
      </c>
      <c r="D40">
        <v>1</v>
      </c>
      <c r="E40" t="s">
        <v>20</v>
      </c>
      <c r="F40" t="s">
        <v>21</v>
      </c>
      <c r="G40" t="s">
        <v>22</v>
      </c>
      <c r="H40" s="6">
        <v>33</v>
      </c>
      <c r="I40">
        <v>3</v>
      </c>
      <c r="J40">
        <v>3</v>
      </c>
      <c r="K40">
        <f t="shared" si="0"/>
        <v>0</v>
      </c>
      <c r="L40" t="s">
        <v>23</v>
      </c>
      <c r="M40">
        <v>0</v>
      </c>
      <c r="N40">
        <v>1</v>
      </c>
      <c r="O40">
        <v>0</v>
      </c>
      <c r="P40">
        <v>1</v>
      </c>
      <c r="Q40">
        <v>2</v>
      </c>
      <c r="R40">
        <v>0</v>
      </c>
      <c r="S40">
        <v>1</v>
      </c>
    </row>
    <row r="41" spans="1:19" x14ac:dyDescent="0.2">
      <c r="A41" s="7" t="s">
        <v>74</v>
      </c>
      <c r="B41">
        <v>34</v>
      </c>
      <c r="C41" t="s">
        <v>26</v>
      </c>
      <c r="F41" t="s">
        <v>21</v>
      </c>
      <c r="G41" t="s">
        <v>22</v>
      </c>
      <c r="H41" s="6">
        <v>23.2</v>
      </c>
      <c r="I41">
        <v>2</v>
      </c>
      <c r="J41">
        <v>2</v>
      </c>
      <c r="K41">
        <f t="shared" si="0"/>
        <v>0</v>
      </c>
      <c r="L41" t="s">
        <v>23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">
      <c r="A42" s="7" t="s">
        <v>75</v>
      </c>
      <c r="B42">
        <v>31</v>
      </c>
      <c r="C42" t="s">
        <v>26</v>
      </c>
      <c r="F42" t="s">
        <v>21</v>
      </c>
      <c r="G42" t="s">
        <v>22</v>
      </c>
      <c r="H42" s="6">
        <v>27</v>
      </c>
      <c r="I42">
        <v>2</v>
      </c>
      <c r="J42">
        <v>2</v>
      </c>
      <c r="K42">
        <f t="shared" si="0"/>
        <v>0</v>
      </c>
      <c r="L42" t="s">
        <v>23</v>
      </c>
      <c r="M42">
        <v>0</v>
      </c>
      <c r="N42">
        <v>0</v>
      </c>
      <c r="O42">
        <v>0</v>
      </c>
      <c r="P42">
        <v>0</v>
      </c>
      <c r="Q42">
        <v>5</v>
      </c>
      <c r="R42">
        <v>99</v>
      </c>
      <c r="S42">
        <v>0</v>
      </c>
    </row>
    <row r="43" spans="1:19" x14ac:dyDescent="0.2">
      <c r="A43" s="7" t="s">
        <v>76</v>
      </c>
      <c r="B43">
        <v>33</v>
      </c>
      <c r="C43" t="s">
        <v>26</v>
      </c>
      <c r="F43" t="s">
        <v>21</v>
      </c>
      <c r="G43" t="s">
        <v>22</v>
      </c>
      <c r="H43" s="6">
        <v>17.899999999999999</v>
      </c>
      <c r="I43">
        <v>3</v>
      </c>
      <c r="J43">
        <v>2</v>
      </c>
      <c r="K43">
        <f t="shared" si="0"/>
        <v>1</v>
      </c>
      <c r="L43" t="s">
        <v>23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1</v>
      </c>
    </row>
    <row r="44" spans="1:19" x14ac:dyDescent="0.2">
      <c r="A44" s="7" t="s">
        <v>77</v>
      </c>
      <c r="B44">
        <v>38</v>
      </c>
      <c r="C44" t="s">
        <v>26</v>
      </c>
      <c r="F44" t="s">
        <v>34</v>
      </c>
      <c r="G44" t="s">
        <v>22</v>
      </c>
      <c r="H44" s="6">
        <v>29.2</v>
      </c>
      <c r="I44">
        <v>3</v>
      </c>
      <c r="J44">
        <v>3</v>
      </c>
      <c r="K44">
        <f t="shared" si="0"/>
        <v>0</v>
      </c>
      <c r="L44" t="s">
        <v>23</v>
      </c>
      <c r="M44">
        <v>0</v>
      </c>
      <c r="N44">
        <v>0</v>
      </c>
      <c r="O44">
        <v>1</v>
      </c>
      <c r="P44">
        <v>0</v>
      </c>
      <c r="Q44">
        <v>5</v>
      </c>
      <c r="R44">
        <v>4</v>
      </c>
      <c r="S44">
        <v>1</v>
      </c>
    </row>
    <row r="46" spans="1:19" x14ac:dyDescent="0.2">
      <c r="B46" s="9"/>
      <c r="G46" s="9"/>
      <c r="H46" s="6"/>
      <c r="I46" s="6"/>
      <c r="J46" s="6"/>
      <c r="K46" s="6"/>
      <c r="L46" s="6"/>
    </row>
    <row r="47" spans="1:19" x14ac:dyDescent="0.2">
      <c r="B47" s="9"/>
      <c r="G47" s="9"/>
      <c r="H47" s="6"/>
      <c r="I47" s="6"/>
      <c r="J47" s="6"/>
      <c r="K47" s="6"/>
      <c r="L47" s="6"/>
    </row>
    <row r="48" spans="1:19" x14ac:dyDescent="0.2">
      <c r="B48" s="9"/>
      <c r="G48" s="9"/>
      <c r="H48" s="6"/>
      <c r="I48" s="6"/>
      <c r="J48" s="6"/>
      <c r="K48" s="6"/>
      <c r="L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Privilege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Gorzney, Cameron A.</dc:creator>
  <cp:lastModifiedBy>Gorzney, Cameron A.</cp:lastModifiedBy>
  <dcterms:created xsi:type="dcterms:W3CDTF">2026-06-14T16:11:51Z</dcterms:created>
  <dcterms:modified xsi:type="dcterms:W3CDTF">2026-06-14T16:14:24Z</dcterms:modified>
</cp:coreProperties>
</file>